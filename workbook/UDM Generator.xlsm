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split-automation\workbook\"/>
    </mc:Choice>
  </mc:AlternateContent>
  <xr:revisionPtr revIDLastSave="0" documentId="13_ncr:1_{B9E706AF-E30C-433E-8C05-1E8CBC12A274}" xr6:coauthVersionLast="47" xr6:coauthVersionMax="47" xr10:uidLastSave="{00000000-0000-0000-0000-000000000000}"/>
  <bookViews>
    <workbookView xWindow="-108" yWindow="-108" windowWidth="23256" windowHeight="12456" xr2:uid="{9A944320-ED46-488D-9F80-A37E305C36BA}"/>
  </bookViews>
  <sheets>
    <sheet name="UDM_Comments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2" i="2"/>
  <c r="C1" i="2"/>
</calcChain>
</file>

<file path=xl/sharedStrings.xml><?xml version="1.0" encoding="utf-8"?>
<sst xmlns="http://schemas.openxmlformats.org/spreadsheetml/2006/main" count="19" uniqueCount="18">
  <si>
    <t>Date</t>
  </si>
  <si>
    <t>File Name</t>
  </si>
  <si>
    <t>File Path</t>
  </si>
  <si>
    <t>Last Friday</t>
  </si>
  <si>
    <t>Philips DS Disputes</t>
  </si>
  <si>
    <t>Dispute Number</t>
  </si>
  <si>
    <t>Total Disputes</t>
  </si>
  <si>
    <t>Total Disputed Amount</t>
  </si>
  <si>
    <t>Philips</t>
  </si>
  <si>
    <t>Open Dispute</t>
  </si>
  <si>
    <t>Total disputes</t>
  </si>
  <si>
    <t>Total disputed amount</t>
  </si>
  <si>
    <t>UDM Comments</t>
  </si>
  <si>
    <t>Split by Customer</t>
  </si>
  <si>
    <t>UDM Comments and Customer split Generator</t>
  </si>
  <si>
    <t>Run this macro first</t>
  </si>
  <si>
    <t>/workbooks/UDM generator.xlsm</t>
  </si>
  <si>
    <t>File Full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</si>
</sst>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3" tint="0.499984740745262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B050"/>
      <name val="Calibri"/>
      <family val="2"/>
    </font>
    <font>
      <b/>
      <sz val="10"/>
      <color rgb="FFFF0000"/>
      <name val="Calibri"/>
      <family val="2"/>
    </font>
    <font>
      <b/>
      <sz val="10"/>
      <color rgb="FFFFFFFF"/>
      <name val="Calibri"/>
      <family val="2"/>
    </font>
    <font>
      <sz val="10"/>
      <color theme="1"/>
      <name val="Calibri"/>
      <family val="2"/>
    </font>
    <font>
      <sz val="10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7" tint="-0.249977111117893"/>
      </left>
      <right/>
      <top style="medium">
        <color theme="7" tint="-0.249977111117893"/>
      </top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 style="medium">
        <color theme="7" tint="-0.249977111117893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theme="7" tint="-0.249977111117893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2" xfId="0" applyBorder="1"/>
    <xf numFmtId="0" fontId="0" fillId="0" borderId="1" xfId="0" applyBorder="1"/>
    <xf numFmtId="0" fontId="1" fillId="0" borderId="5" xfId="0" applyFont="1" applyBorder="1"/>
    <xf numFmtId="0" fontId="0" fillId="0" borderId="6" xfId="0" applyBorder="1"/>
    <xf numFmtId="14" fontId="3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8" fontId="5" fillId="0" borderId="8" xfId="0" applyNumberFormat="1" applyFont="1" applyBorder="1" applyAlignment="1">
      <alignment horizontal="center" vertical="center"/>
    </xf>
    <xf numFmtId="0" fontId="0" fillId="0" borderId="5" xfId="0" applyBorder="1"/>
    <xf numFmtId="0" fontId="6" fillId="4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 wrapText="1"/>
    </xf>
    <xf numFmtId="0" fontId="6" fillId="5" borderId="11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/>
    </xf>
    <xf numFmtId="0" fontId="0" fillId="0" borderId="4" xfId="0" applyBorder="1"/>
    <xf numFmtId="0" fontId="7" fillId="0" borderId="8" xfId="0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8" fontId="5" fillId="0" borderId="0" xfId="0" applyNumberFormat="1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9" fillId="0" borderId="2" xfId="0" applyFont="1" applyBorder="1"/>
    <xf numFmtId="0" fontId="6" fillId="5" borderId="17" xfId="0" applyFont="1" applyFill="1" applyBorder="1" applyAlignment="1">
      <alignment horizontal="center" vertical="center" wrapText="1"/>
    </xf>
    <xf numFmtId="0" fontId="1" fillId="0" borderId="21" xfId="0" applyFont="1" applyBorder="1"/>
    <xf numFmtId="0" fontId="11" fillId="0" borderId="2" xfId="0" applyFont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1">
    <cellStyle name="Normal" xfId="0" builtinId="0"/>
  </cellStyles>
  <dxfs count="8"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825745</xdr:colOff>
      <xdr:row>9</xdr:row>
      <xdr:rowOff>117891</xdr:rowOff>
    </xdr:from>
    <xdr:to>
      <xdr:col>3</xdr:col>
      <xdr:colOff>435579</xdr:colOff>
      <xdr:row>15</xdr:row>
      <xdr:rowOff>0</xdr:rowOff>
    </xdr:to>
    <xdr:pic macro="[0]!UDM_Comments_Category">
      <xdr:nvPicPr>
        <xdr:cNvPr id="2" name="Graphic 1" descr="Cement truck outline">
          <a:extLst>
            <a:ext uri="{FF2B5EF4-FFF2-40B4-BE49-F238E27FC236}">
              <a16:creationId xmlns:a16="http://schemas.microsoft.com/office/drawing/2014/main" id="{FDB8604C-FC83-439B-A79D-DD1E5268B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0387" y="1758196"/>
          <a:ext cx="1235536" cy="880730"/>
        </a:xfrm>
        <a:prstGeom prst="rect">
          <a:avLst/>
        </a:prstGeom>
      </xdr:spPr>
    </xdr:pic>
    <xdr:clientData/>
  </xdr:twoCellAnchor>
  <xdr:twoCellAnchor editAs="oneCell">
    <xdr:from>
      <xdr:col>5</xdr:col>
      <xdr:colOff>572989</xdr:colOff>
      <xdr:row>9</xdr:row>
      <xdr:rowOff>191936</xdr:rowOff>
    </xdr:from>
    <xdr:to>
      <xdr:col>7</xdr:col>
      <xdr:colOff>548560</xdr:colOff>
      <xdr:row>15</xdr:row>
      <xdr:rowOff>0</xdr:rowOff>
    </xdr:to>
    <xdr:pic macro="[0]!Split_Customers_Per_AOR">
      <xdr:nvPicPr>
        <xdr:cNvPr id="3" name="Graphic 2" descr="Address Book outline">
          <a:extLst>
            <a:ext uri="{FF2B5EF4-FFF2-40B4-BE49-F238E27FC236}">
              <a16:creationId xmlns:a16="http://schemas.microsoft.com/office/drawing/2014/main" id="{50714F14-AF43-4C66-A237-B0D362933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5315" y="2108968"/>
          <a:ext cx="1580254" cy="8066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9F9D0-B93B-4EE5-A478-F43694025938}">
  <sheetPr codeName="Sheet1"/>
  <dimension ref="A1:O69"/>
  <sheetViews>
    <sheetView tabSelected="1" zoomScale="190" zoomScaleNormal="190" workbookViewId="0">
      <selection activeCell="E5" sqref="E5"/>
    </sheetView>
  </sheetViews>
  <sheetFormatPr defaultColWidth="0" defaultRowHeight="14.4" zeroHeight="1" x14ac:dyDescent="0.3"/>
  <cols>
    <col min="1" max="1" width="3.5546875" customWidth="1"/>
    <col min="2" max="2" width="11.21875" customWidth="1"/>
    <col min="3" max="4" width="11.6640625" customWidth="1"/>
    <col min="5" max="5" width="0.77734375" customWidth="1"/>
    <col min="6" max="8" width="11.6640625" customWidth="1"/>
    <col min="9" max="9" width="3.21875" customWidth="1"/>
    <col min="10" max="12" width="13.33203125" hidden="1" customWidth="1"/>
    <col min="13" max="14" width="13.44140625" hidden="1" customWidth="1"/>
    <col min="15" max="15" width="8.88671875" hidden="1" customWidth="1"/>
    <col min="16" max="16" width="0" hidden="1" customWidth="1"/>
  </cols>
  <sheetData>
    <row r="1" spans="1:15" x14ac:dyDescent="0.3">
      <c r="A1" s="33"/>
      <c r="B1" s="32" t="s">
        <v>0</v>
      </c>
      <c r="C1" s="32" t="str">
        <f ca="1">CONCATENATE(TEXT(MONTH(TODAY()),"dd"),"-",TEXT(DAY(TODAY()),"dd"),"-",RIGHT(YEAR(TODAY()),2))</f>
        <v>06-28-26</v>
      </c>
      <c r="D1" s="29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">
      <c r="A2" s="34"/>
      <c r="B2" s="32" t="s">
        <v>17</v>
      </c>
      <c r="C2" s="32" t="str">
        <f ca="1">CONCATENATE("UDM_Dispute"," ",TEXT(MONTH(TODAY()),"dd"),"-",TEXT(DAY(TODAY()),"dd"),"-",RIGHT(YEAR(TODAY()),2),".xlsm")</f>
        <v>UDM_Dispute 06-28-26.xlsm</v>
      </c>
      <c r="D2" s="29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34"/>
      <c r="B3" s="32" t="s">
        <v>1</v>
      </c>
      <c r="C3" s="32" t="str">
        <f ca="1">CONCATENATE("UDM_Notes"," ",TEXT(MONTH(TODAY()),"dd"),"-",TEXT(DAY(TODAY()),"dd"),"-",RIGHT(YEAR(TODAY()),2),".xlsx")</f>
        <v>UDM_Notes 06-28-26.xlsx</v>
      </c>
      <c r="D3" s="29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3">
      <c r="A4" s="34"/>
      <c r="B4" s="32" t="s">
        <v>2</v>
      </c>
      <c r="C4" s="32" t="s">
        <v>16</v>
      </c>
      <c r="D4" s="29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6" customHeight="1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1"/>
      <c r="N5" s="1"/>
      <c r="O5" s="1"/>
    </row>
    <row r="6" spans="1:15" ht="21" x14ac:dyDescent="0.4">
      <c r="A6" s="35" t="s">
        <v>14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14"/>
      <c r="N6" s="1"/>
      <c r="O6" s="1"/>
    </row>
    <row r="7" spans="1:15" ht="1.9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1"/>
      <c r="N7" s="1"/>
      <c r="O7" s="1"/>
    </row>
    <row r="8" spans="1:15" ht="6" customHeight="1" thickBot="1" x14ac:dyDescent="0.35">
      <c r="A8" s="1"/>
      <c r="B8" s="2"/>
      <c r="C8" s="2"/>
      <c r="D8" s="4"/>
      <c r="E8" s="4"/>
      <c r="F8" s="4"/>
      <c r="G8" s="2"/>
      <c r="H8" s="2"/>
      <c r="I8" s="1"/>
      <c r="J8" s="1"/>
      <c r="K8" s="1"/>
      <c r="L8" s="1"/>
      <c r="M8" s="1"/>
      <c r="N8" s="1"/>
      <c r="O8" s="1"/>
    </row>
    <row r="9" spans="1:15" ht="16.2" thickBot="1" x14ac:dyDescent="0.35">
      <c r="A9" s="3"/>
      <c r="B9" s="36" t="s">
        <v>12</v>
      </c>
      <c r="C9" s="37"/>
      <c r="D9" s="38"/>
      <c r="E9" s="31"/>
      <c r="F9" s="36" t="s">
        <v>13</v>
      </c>
      <c r="G9" s="37"/>
      <c r="H9" s="38"/>
      <c r="I9" s="14"/>
      <c r="J9" s="1"/>
      <c r="K9" s="1"/>
      <c r="L9" s="1"/>
      <c r="M9" s="1"/>
      <c r="N9" s="1"/>
      <c r="O9" s="1"/>
    </row>
    <row r="10" spans="1:15" ht="15" thickBot="1" x14ac:dyDescent="0.35">
      <c r="A10" s="9"/>
      <c r="B10" s="39" t="s">
        <v>15</v>
      </c>
      <c r="C10" s="40"/>
      <c r="D10" s="41"/>
      <c r="E10" s="14"/>
      <c r="F10" s="4"/>
      <c r="G10" s="4"/>
      <c r="H10" s="4"/>
      <c r="I10" s="1"/>
      <c r="J10" s="1"/>
      <c r="K10" s="1"/>
      <c r="L10" s="1"/>
      <c r="M10" s="1"/>
      <c r="N10" s="1"/>
      <c r="O10" s="1"/>
    </row>
    <row r="11" spans="1:15" x14ac:dyDescent="0.3">
      <c r="A11" s="1"/>
      <c r="B11" s="4"/>
      <c r="C11" s="4"/>
      <c r="D11" s="4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ht="5.4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hidden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" hidden="1" thickBot="1" x14ac:dyDescent="0.35">
      <c r="A17" s="1" t="s">
        <v>3</v>
      </c>
      <c r="B17" s="5">
        <v>45618</v>
      </c>
      <c r="C17" s="6"/>
      <c r="D17" s="6"/>
      <c r="E17" s="6"/>
      <c r="F17" s="7"/>
      <c r="G17" s="8"/>
      <c r="H17" s="24"/>
      <c r="I17" s="1"/>
      <c r="J17" s="1"/>
      <c r="K17" s="1"/>
      <c r="L17" s="1"/>
      <c r="M17" s="1"/>
      <c r="N17" s="1"/>
      <c r="O17" s="1"/>
    </row>
    <row r="18" spans="1:15" ht="15" hidden="1" thickBot="1" x14ac:dyDescent="0.35">
      <c r="A18" s="1"/>
      <c r="B18" s="2"/>
      <c r="C18" s="2"/>
      <c r="D18" s="2"/>
      <c r="E18" s="2"/>
      <c r="F18" s="2"/>
      <c r="G18" s="2"/>
      <c r="H18" s="2"/>
      <c r="I18" s="1"/>
      <c r="J18" s="1"/>
      <c r="K18" s="1"/>
      <c r="L18" s="1"/>
      <c r="M18" s="1"/>
      <c r="N18" s="1"/>
      <c r="O18" s="1"/>
    </row>
    <row r="19" spans="1:15" ht="166.2" hidden="1" thickBot="1" x14ac:dyDescent="0.35">
      <c r="A19" s="9"/>
      <c r="B19" s="10" t="s">
        <v>0</v>
      </c>
      <c r="C19" s="11" t="s">
        <v>4</v>
      </c>
      <c r="D19" s="12"/>
      <c r="E19" s="12" t="s">
        <v>5</v>
      </c>
      <c r="F19" s="12" t="s">
        <v>6</v>
      </c>
      <c r="G19" s="13" t="s">
        <v>7</v>
      </c>
      <c r="H19" s="25"/>
      <c r="I19" s="14"/>
      <c r="J19" s="1"/>
      <c r="K19" s="1"/>
      <c r="L19" s="1"/>
      <c r="M19" s="1"/>
      <c r="N19" s="1"/>
      <c r="O19" s="1"/>
    </row>
    <row r="20" spans="1:15" ht="15" hidden="1" thickBot="1" x14ac:dyDescent="0.35">
      <c r="A20" s="1"/>
      <c r="B20" s="5"/>
      <c r="C20" s="15"/>
      <c r="D20" s="15"/>
      <c r="E20" s="15"/>
      <c r="F20" s="15"/>
      <c r="G20" s="16"/>
      <c r="H20" s="26"/>
      <c r="I20" s="1"/>
      <c r="J20" s="1"/>
      <c r="K20" s="1"/>
      <c r="L20" s="1"/>
      <c r="M20" s="1"/>
      <c r="N20" s="1"/>
      <c r="O20" s="1"/>
    </row>
    <row r="21" spans="1:15" ht="15" hidden="1" thickBot="1" x14ac:dyDescent="0.35">
      <c r="A21" s="1"/>
      <c r="B21" s="5"/>
      <c r="C21" s="15"/>
      <c r="D21" s="15"/>
      <c r="E21" s="15"/>
      <c r="F21" s="15"/>
      <c r="G21" s="17"/>
      <c r="H21" s="27"/>
      <c r="I21" s="1"/>
      <c r="J21" s="1"/>
      <c r="K21" s="1"/>
      <c r="L21" s="1"/>
      <c r="M21" s="1"/>
      <c r="N21" s="1"/>
      <c r="O21" s="1"/>
    </row>
    <row r="22" spans="1:15" ht="15" hidden="1" thickBot="1" x14ac:dyDescent="0.35">
      <c r="A22" s="1"/>
      <c r="B22" s="5"/>
      <c r="C22" s="15"/>
      <c r="D22" s="15"/>
      <c r="E22" s="15"/>
      <c r="F22" s="15"/>
      <c r="G22" s="17"/>
      <c r="H22" s="27"/>
      <c r="I22" s="1"/>
      <c r="J22" s="1"/>
      <c r="K22" s="1"/>
      <c r="L22" s="1"/>
      <c r="M22" s="1"/>
      <c r="N22" s="1"/>
      <c r="O22" s="1"/>
    </row>
    <row r="23" spans="1:15" ht="15" hidden="1" thickBot="1" x14ac:dyDescent="0.35">
      <c r="A23" s="1"/>
      <c r="B23" s="5"/>
      <c r="C23" s="15"/>
      <c r="D23" s="15"/>
      <c r="E23" s="15"/>
      <c r="F23" s="15"/>
      <c r="G23" s="17"/>
      <c r="H23" s="27"/>
      <c r="I23" s="1"/>
      <c r="J23" s="1"/>
      <c r="K23" s="1"/>
      <c r="L23" s="1"/>
      <c r="M23" s="1"/>
      <c r="N23" s="1"/>
      <c r="O23" s="1"/>
    </row>
    <row r="24" spans="1:15" ht="15" hidden="1" thickBot="1" x14ac:dyDescent="0.35">
      <c r="A24" s="1"/>
      <c r="B24" s="5"/>
      <c r="C24" s="15"/>
      <c r="D24" s="15"/>
      <c r="E24" s="15"/>
      <c r="F24" s="15"/>
      <c r="G24" s="17"/>
      <c r="H24" s="27"/>
      <c r="I24" s="1"/>
      <c r="J24" s="1"/>
      <c r="K24" s="1"/>
      <c r="L24" s="1"/>
      <c r="M24" s="1"/>
      <c r="N24" s="1"/>
      <c r="O24" s="1"/>
    </row>
    <row r="25" spans="1:15" ht="15" hidden="1" thickBot="1" x14ac:dyDescent="0.35">
      <c r="A25" s="1"/>
      <c r="B25" s="1"/>
      <c r="C25" s="2"/>
      <c r="D25" s="2"/>
      <c r="E25" s="2"/>
      <c r="F25" s="2"/>
      <c r="G25" s="2"/>
      <c r="H25" s="2"/>
      <c r="I25" s="1"/>
      <c r="J25" s="1"/>
      <c r="K25" s="1"/>
      <c r="L25" s="1"/>
      <c r="M25" s="1"/>
      <c r="N25" s="1"/>
      <c r="O25" s="1"/>
    </row>
    <row r="26" spans="1:15" ht="138.6" hidden="1" thickBot="1" x14ac:dyDescent="0.35">
      <c r="A26" s="1"/>
      <c r="B26" s="9"/>
      <c r="C26" s="18" t="s">
        <v>8</v>
      </c>
      <c r="D26" s="30"/>
      <c r="E26" s="19" t="s">
        <v>9</v>
      </c>
      <c r="F26" s="19" t="s">
        <v>10</v>
      </c>
      <c r="G26" s="20" t="s">
        <v>11</v>
      </c>
      <c r="H26" s="25"/>
      <c r="I26" s="14"/>
      <c r="J26" s="1"/>
      <c r="K26" s="1"/>
      <c r="L26" s="1"/>
      <c r="M26" s="1"/>
      <c r="N26" s="1"/>
      <c r="O26" s="1"/>
    </row>
    <row r="27" spans="1:15" hidden="1" x14ac:dyDescent="0.3">
      <c r="A27" s="1"/>
      <c r="B27" s="9"/>
      <c r="C27" s="21"/>
      <c r="D27" s="21"/>
      <c r="E27" s="22"/>
      <c r="F27" s="22"/>
      <c r="G27" s="23"/>
      <c r="H27" s="28"/>
      <c r="I27" s="14"/>
      <c r="J27" s="1"/>
      <c r="K27" s="1"/>
      <c r="L27" s="1"/>
      <c r="M27" s="1"/>
      <c r="N27" s="1"/>
      <c r="O27" s="1"/>
    </row>
    <row r="28" spans="1:15" hidden="1" x14ac:dyDescent="0.3">
      <c r="A28" s="1"/>
      <c r="B28" s="1"/>
      <c r="C28" s="4"/>
      <c r="D28" s="4"/>
      <c r="E28" s="4"/>
      <c r="F28" s="4"/>
      <c r="G28" s="4"/>
      <c r="H28" s="4"/>
      <c r="I28" s="1"/>
      <c r="J28" s="1"/>
      <c r="K28" s="1"/>
      <c r="L28" s="1"/>
      <c r="M28" s="1"/>
      <c r="N28" s="1"/>
      <c r="O28" s="1"/>
    </row>
    <row r="29" spans="1:15" hidden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idden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idden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5" hidden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idden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hidden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hidden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hidden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hidden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hidden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hidden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idden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hidden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idden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hidden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hidden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idden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idden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idden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idden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idden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idden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idden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idden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idden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idden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idden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idden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</sheetData>
  <mergeCells count="5">
    <mergeCell ref="A1:A4"/>
    <mergeCell ref="A6:L6"/>
    <mergeCell ref="B9:D9"/>
    <mergeCell ref="B10:D10"/>
    <mergeCell ref="F9:H9"/>
  </mergeCells>
  <conditionalFormatting sqref="C17:D17">
    <cfRule type="cellIs" dxfId="7" priority="4" operator="greaterThan">
      <formula>$L$16</formula>
    </cfRule>
    <cfRule type="cellIs" dxfId="6" priority="5" operator="lessThanOrEqual">
      <formula>$L$16</formula>
    </cfRule>
  </conditionalFormatting>
  <conditionalFormatting sqref="E17">
    <cfRule type="cellIs" dxfId="5" priority="2" operator="lessThanOrEqual">
      <formula>$M$16</formula>
    </cfRule>
    <cfRule type="cellIs" dxfId="4" priority="3" operator="greaterThan">
      <formula>$M$16</formula>
    </cfRule>
  </conditionalFormatting>
  <conditionalFormatting sqref="F17">
    <cfRule type="cellIs" dxfId="3" priority="7" operator="lessThanOrEqual">
      <formula>$N$16</formula>
    </cfRule>
    <cfRule type="cellIs" dxfId="2" priority="8" operator="greaterThan">
      <formula>$N$16</formula>
    </cfRule>
  </conditionalFormatting>
  <conditionalFormatting sqref="G17:H17">
    <cfRule type="cellIs" dxfId="1" priority="1" operator="greaterThan">
      <formula>$O$16</formula>
    </cfRule>
    <cfRule type="cellIs" dxfId="0" priority="6" operator="lessThanOrEqual">
      <formula>$O$16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UDM_Comments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2025-08-05T17:04:02Z</dcterms:created>
  <dcterms:modified xsi:type="dcterms:W3CDTF">2026-06-29T00:22:49Z</dcterms:modified>
</cp:coreProperties>
</file>